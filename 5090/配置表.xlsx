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<sst xmlns="http://schemas.openxmlformats.org/spreadsheetml/2006/main" count="41" uniqueCount="38">
  <si>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方案一（高）</t>
  </si>
  <si>
    <t>豆包</t>
  </si>
  <si>
    <t>型号</t>
  </si>
  <si>
    <t>性能</t>
  </si>
  <si>
    <t>价格</t>
  </si>
  <si>
    <t>豆包价格</t>
  </si>
  <si>
    <t>CPU</t>
  </si>
  <si>
    <t>AMD 9950X3D</t>
  </si>
  <si>
    <t>AMD Ryzen 9 9950X3D</t>
  </si>
  <si>
    <t>16 核 32 线程、PCIe 5.0 x16、支持OMMU/AMD-Vi，适合虚拟机 / 容器 / LLM 推理微调）</t>
  </si>
  <si>
    <t>主板</t>
  </si>
  <si>
    <t>ROG CROSSHAIR X870E APEX</t>
  </si>
  <si>
    <t>华硕 PROART X870E-CREATOR WIFI</t>
  </si>
  <si>
    <t>双CPU 直出 PCIe 5.0 x16，可x8/x8 拆分、非 PCH 通道
内存：DDR5，最大 256GB（4×64GB），满足 128→192→256GB 扩展
网口：10G+2.5G 双网口、WiFi 7；前置 USB4/USB‑C Gen4
存储：3×M.2 NVMe + 多 SATA，满足≥1 M.2、≥2×3.5 寸盘位
BIOS：Resizable BAR、IOMMU (AMD‑Vi)、VFIO 直通</t>
  </si>
  <si>
    <t>风扇</t>
  </si>
  <si>
    <t>超频三 臻RZ620 （建议用360水冷）</t>
  </si>
  <si>
    <r>
      <t xml:space="preserve">利民 </t>
    </r>
    <r>
      <rPr>
        <sz val="20"/>
        <color rgb="FF000000"/>
        <rFont val="宋体"/>
        <charset val="134"/>
        <scheme val="minor"/>
      </rPr>
      <t>AE360 V3</t>
    </r>
    <r>
      <rPr>
        <sz val="20"/>
        <color theme="1"/>
        <rFont val="宋体"/>
        <charset val="134"/>
        <scheme val="minor"/>
      </rPr>
      <t xml:space="preserve"> 一体式水冷</t>
    </r>
  </si>
  <si>
    <t>内存</t>
  </si>
  <si>
    <t>七彩虹 DDR5 6000 C40 64G*2</t>
  </si>
  <si>
    <r>
      <t>DDR5 6000 32GB×4</t>
    </r>
    <r>
      <rPr>
        <sz val="20"/>
        <color theme="1"/>
        <rFont val="宋体"/>
        <charset val="134"/>
        <scheme val="minor"/>
      </rPr>
      <t>=</t>
    </r>
    <r>
      <rPr>
        <sz val="20"/>
        <color rgb="FF000000"/>
        <rFont val="宋体"/>
        <charset val="134"/>
        <scheme val="minor"/>
      </rPr>
      <t>128GB</t>
    </r>
    <r>
      <rPr>
        <sz val="20"/>
        <color theme="1"/>
        <rFont val="宋体"/>
        <charset val="134"/>
        <scheme val="minor"/>
      </rPr>
      <t>（预留 4×64GB=256GB）</t>
    </r>
  </si>
  <si>
    <t>硬盘</t>
  </si>
  <si>
    <t>WD SN7100 1T</t>
  </si>
  <si>
    <r>
      <t>宏碁掠夺者</t>
    </r>
    <r>
      <rPr>
        <sz val="20"/>
        <color theme="1"/>
        <rFont val="宋体"/>
        <charset val="134"/>
        <scheme val="minor"/>
      </rPr>
      <t xml:space="preserve"> </t>
    </r>
    <r>
      <rPr>
        <sz val="20"/>
        <color rgb="FF000000"/>
        <rFont val="宋体"/>
        <charset val="134"/>
        <scheme val="minor"/>
      </rPr>
      <t>GM7 2TB PCIe 4.0</t>
    </r>
  </si>
  <si>
    <t>电源</t>
  </si>
  <si>
    <t>酷冷至尊 V PLATINUM V2 1600W</t>
  </si>
  <si>
    <t>长城 F16 1600W 白金 ATX3.1</t>
  </si>
  <si>
    <t>机箱</t>
  </si>
  <si>
    <t>abee Designer C1000W 全塔服务器工作站机箱</t>
  </si>
  <si>
    <t>高（垂直）：700 mm
长（前后深度）：581 mm
宽（左右厚度）：262 mm</t>
  </si>
  <si>
    <t>海盗船 9000D RGB AIRFLOW（E‑ATX、强风道、双卡 4 槽兼容、多盘位）</t>
  </si>
  <si>
    <t>高（垂直）：698 mm
长（前后深度）：698 mm
宽（左右厚度）：307 mm</t>
  </si>
  <si>
    <t>合计</t>
  </si>
  <si>
    <t>主板插双显卡后，无冗余</t>
  </si>
  <si>
    <r>
      <t>硬盘位</t>
    </r>
    <r>
      <rPr>
        <sz val="20"/>
        <color theme="1"/>
        <rFont val="宋体"/>
        <charset val="134"/>
        <scheme val="minor"/>
      </rPr>
      <t>：≥2×3.5 寸 HDD 位（机箱 + 主板 SATA）</t>
    </r>
  </si>
  <si>
    <t>abee Designer C1000W
通用 3.5/2.5 寸互换仓位：12 个（可全装 3.5 寸硬盘）
独立 2.5 寸 SSD 专用位：3 个
合计原生盘位：15 个（最多 12 块 3.5 寸硬盘 + 3 块 2.5 寸 SSD）</t>
  </si>
  <si>
    <t xml:space="preserve">海盗船 9000D AIRFLOW
3.5 寸机械硬盘位：5 个
2.5 寸 SSD 位：6 个
合计原生盘位：11 个（5HDD+6SSD）
</t>
  </si>
  <si>
    <t>大量存储、多块大容量机械硬盘存数据集、镜像、备份：选 abee C1000W，3.5 寸扩展能力碾压</t>
  </si>
  <si>
    <t>以 NVMe 固态为主、机械硬盘仅少量，更看重双卡风冷散热、风道：选海盗船 9000D 9000D 硬盘架可拆卸，拆掉后内部空间更大、显卡散热风道更好；
C1000W 硬盘笼固定前置，存储拉满，但底部无进风，双 5090 满载散热弱一截。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</si>
</sst>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F1" sqref="F1:I1"/>
    </sheetView>
  </sheetViews>
  <sheetFormatPr defaultColWidth="8.72727272727273" defaultRowHeight="14"/>
  <cols>
    <col min="3" max="3" width="41.6363636363636" customWidth="1"/>
    <col min="4" max="4" width="37.5454545454545" customWidth="1"/>
    <col min="5" max="5" width="12.2727272727273"/>
    <col min="6" max="6" width="19.1818181818182" customWidth="1"/>
    <col min="7" max="7" width="63.0909090909091" customWidth="1"/>
    <col min="8" max="8" width="46.9090909090909" customWidth="1"/>
    <col min="9" max="9" width="14.2727272727273" customWidth="1"/>
  </cols>
  <sheetData>
    <row r="1" s="1" customFormat="1" ht="27.5" spans="1:13">
      <c r="B1" s="2"/>
      <c r="C1" s="3" t="s">
        <v>0</v>
      </c>
      <c r="D1" s="3"/>
      <c r="E1" s="2"/>
      <c r="F1" s="4" t="s">
        <v>1</v>
      </c>
      <c r="G1" s="5"/>
      <c r="H1" s="5"/>
      <c r="I1" s="6"/>
      <c r="J1" s="2"/>
      <c r="K1" s="2"/>
      <c r="L1" s="2"/>
      <c r="M1" s="2"/>
    </row>
    <row r="2" s="1" customFormat="1" ht="27.5" spans="1:13">
      <c r="B2" s="2"/>
      <c r="C2" s="3" t="s">
        <v>2</v>
      </c>
      <c r="D2" s="3" t="s">
        <v>3</v>
      </c>
      <c r="E2" s="3" t="s">
        <v>4</v>
      </c>
      <c r="F2" s="2" t="s">
        <v>5</v>
      </c>
      <c r="G2" s="3" t="s">
        <v>2</v>
      </c>
      <c r="H2" s="3" t="s">
        <v>3</v>
      </c>
      <c r="I2" s="2" t="s">
        <v>4</v>
      </c>
      <c r="J2" s="2"/>
      <c r="K2" s="2"/>
      <c r="L2" s="2"/>
      <c r="M2" s="2"/>
    </row>
    <row r="3" s="1" customFormat="1" ht="110" spans="1:13">
      <c r="A3" s="2">
        <v>1</v>
      </c>
      <c r="B3" s="3" t="s">
        <v>6</v>
      </c>
      <c r="C3" s="3" t="s">
        <v>7</v>
      </c>
      <c r="D3" s="3"/>
      <c r="E3" s="2">
        <v>4819</v>
      </c>
      <c r="F3" s="2">
        <v>4819</v>
      </c>
      <c r="G3" s="3" t="s">
        <v>8</v>
      </c>
      <c r="H3" s="7" t="s">
        <v>9</v>
      </c>
      <c r="I3" s="2">
        <v>4319</v>
      </c>
      <c r="J3" s="2"/>
      <c r="K3" s="2"/>
      <c r="L3" s="2"/>
      <c r="M3" s="2"/>
    </row>
    <row r="4" s="1" customFormat="1" ht="409.5" spans="1:13">
      <c r="A4" s="2">
        <v>2</v>
      </c>
      <c r="B4" s="3" t="s">
        <v>10</v>
      </c>
      <c r="C4" s="7" t="s">
        <v>11</v>
      </c>
      <c r="D4" s="7"/>
      <c r="E4" s="2">
        <v>5099</v>
      </c>
      <c r="F4" s="2">
        <v>5099</v>
      </c>
      <c r="G4" s="3" t="s">
        <v>12</v>
      </c>
      <c r="H4" s="8" t="s">
        <v>13</v>
      </c>
      <c r="I4" s="2">
        <v>4699</v>
      </c>
      <c r="J4" s="2"/>
      <c r="K4" s="2"/>
      <c r="L4" s="2"/>
      <c r="M4" s="2"/>
    </row>
    <row r="5" s="1" customFormat="1" ht="55" spans="1:13">
      <c r="A5" s="2">
        <v>3</v>
      </c>
      <c r="B5" s="3" t="s">
        <v>14</v>
      </c>
      <c r="C5" s="9" t="s">
        <v>15</v>
      </c>
      <c r="D5" s="7"/>
      <c r="E5" s="2">
        <v>299</v>
      </c>
      <c r="F5" s="2">
        <v>255</v>
      </c>
      <c r="G5" s="7" t="s">
        <v>16</v>
      </c>
      <c r="H5" s="2"/>
      <c r="I5" s="2">
        <v>280</v>
      </c>
      <c r="J5" s="2"/>
      <c r="K5" s="2"/>
      <c r="L5" s="2"/>
      <c r="M5" s="2"/>
    </row>
    <row r="6" s="1" customFormat="1" ht="55" spans="1:13">
      <c r="A6" s="2">
        <v>4</v>
      </c>
      <c r="B6" s="3" t="s">
        <v>17</v>
      </c>
      <c r="C6" s="7" t="s">
        <v>18</v>
      </c>
      <c r="D6" s="7"/>
      <c r="E6" s="2">
        <v>9499</v>
      </c>
      <c r="F6" s="2">
        <v>6199</v>
      </c>
      <c r="G6" s="7" t="s">
        <v>19</v>
      </c>
      <c r="H6" s="2"/>
      <c r="I6" s="2">
        <v>3498</v>
      </c>
      <c r="J6" s="2"/>
      <c r="K6" s="2"/>
      <c r="L6" s="2"/>
      <c r="M6" s="2"/>
    </row>
    <row r="7" s="1" customFormat="1" ht="27.5" spans="1:13">
      <c r="A7" s="2">
        <v>5</v>
      </c>
      <c r="B7" s="3" t="s">
        <v>20</v>
      </c>
      <c r="C7" s="3" t="s">
        <v>21</v>
      </c>
      <c r="D7" s="3"/>
      <c r="E7" s="2">
        <v>1299</v>
      </c>
      <c r="F7" s="2">
        <v>769</v>
      </c>
      <c r="G7" s="7" t="s">
        <v>22</v>
      </c>
      <c r="H7" s="2"/>
      <c r="I7" s="2">
        <v>699</v>
      </c>
      <c r="J7" s="2"/>
      <c r="K7" s="2"/>
      <c r="L7" s="2"/>
      <c r="M7" s="2"/>
    </row>
    <row r="8" s="1" customFormat="1" ht="55" spans="1:13">
      <c r="A8" s="2">
        <v>6</v>
      </c>
      <c r="B8" s="3" t="s">
        <v>23</v>
      </c>
      <c r="C8" s="7" t="s">
        <v>24</v>
      </c>
      <c r="D8" s="7"/>
      <c r="E8" s="2">
        <v>2099</v>
      </c>
      <c r="F8" s="2">
        <v>2099</v>
      </c>
      <c r="G8" s="10" t="s">
        <v>25</v>
      </c>
      <c r="H8" s="2"/>
      <c r="I8" s="2">
        <v>1359</v>
      </c>
      <c r="J8" s="2"/>
      <c r="K8" s="2"/>
      <c r="L8" s="2"/>
      <c r="M8" s="2"/>
    </row>
    <row r="9" s="1" customFormat="1" ht="137.5" spans="1:13">
      <c r="A9" s="2">
        <v>7</v>
      </c>
      <c r="B9" s="3" t="s">
        <v>26</v>
      </c>
      <c r="C9" s="7" t="s">
        <v>27</v>
      </c>
      <c r="D9" s="8" t="s">
        <v>28</v>
      </c>
      <c r="E9" s="2">
        <v>3999</v>
      </c>
      <c r="F9" s="2">
        <v>3999</v>
      </c>
      <c r="G9" s="7" t="s">
        <v>29</v>
      </c>
      <c r="H9" s="8" t="s">
        <v>30</v>
      </c>
      <c r="I9" s="2">
        <v>4199</v>
      </c>
      <c r="J9" s="2"/>
      <c r="K9" s="2"/>
      <c r="L9" s="2"/>
      <c r="M9" s="2"/>
    </row>
    <row r="10" s="1" customFormat="1" ht="27.5" spans="1:13">
      <c r="A10" s="2">
        <v>8</v>
      </c>
      <c r="B10" s="3" t="s">
        <v>31</v>
      </c>
      <c r="C10" s="2"/>
      <c r="D10" s="2"/>
      <c r="E10" s="2">
        <f>SUM(E3:E9)</f>
        <v>27113</v>
      </c>
      <c r="F10" s="2">
        <f>SUM(F3:F9)</f>
        <v>23239</v>
      </c>
      <c r="G10" s="2"/>
      <c r="H10" s="2"/>
      <c r="I10" s="2">
        <f>SUM(I3:I9)</f>
        <v>19053</v>
      </c>
      <c r="J10" s="2"/>
      <c r="K10" s="2"/>
      <c r="L10" s="2"/>
      <c r="M10" s="2"/>
    </row>
    <row r="11" customFormat="1" ht="51" spans="1:13">
      <c r="A11" s="11"/>
      <c r="B11" s="11"/>
      <c r="C11" s="12" t="s">
        <v>32</v>
      </c>
      <c r="D11" s="12"/>
      <c r="E11" s="11"/>
      <c r="F11" s="11"/>
      <c r="G11" s="13" t="s">
        <v>33</v>
      </c>
      <c r="H11" s="11"/>
      <c r="I11" s="11"/>
      <c r="J11" s="11"/>
      <c r="K11" s="11"/>
      <c r="L11" s="11"/>
      <c r="M11" s="11"/>
    </row>
    <row r="12" ht="229.5" spans="1:13">
      <c r="A12" s="11"/>
      <c r="B12" s="11"/>
      <c r="C12" s="14" t="s">
        <v>34</v>
      </c>
      <c r="D12" s="11"/>
      <c r="E12" s="11"/>
      <c r="F12" s="11"/>
      <c r="G12" s="14" t="s">
        <v>35</v>
      </c>
      <c r="H12" s="11"/>
      <c r="I12" s="11"/>
      <c r="J12" s="11"/>
      <c r="K12" s="11"/>
      <c r="L12" s="11"/>
      <c r="M12" s="11"/>
    </row>
    <row r="13" spans="1: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6" ht="102" spans="1:13">
      <c r="C16" s="15" t="s">
        <v>36</v>
      </c>
    </row>
    <row r="17" ht="280.5" spans="3:3">
      <c r="C17" s="15" t="s">
        <v>37</v>
      </c>
    </row>
  </sheetData>
  <mergeCells count="1">
    <mergeCell ref="F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</dc:creator>
  <cp:lastModifiedBy>wangx</cp:lastModifiedBy>
  <dcterms:created xsi:type="dcterms:W3CDTF">2026-07-18T06:44:41Z</dcterms:created>
  <dcterms:modified xsi:type="dcterms:W3CDTF">2026-07-19T03:07:43Z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2FC544439FD14F1A811F3A8D6FE47B43_11</vt:lpwstr>
  </property>
  <property fmtid="{D5CDD505-2E9C-101B-9397-08002B2CF9AE}" pid="3" name="KSOProductBuildVer">
    <vt:lpwstr>2052-12.1.0.23542</vt:lpwstr>
  </property>
</Properties>
</file>